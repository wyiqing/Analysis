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北航生物医学工程·博士生·益生菌\07 GLP-1 丁酸 HFD\0 SCI 投稿\01 Nature microbiology\Argue\sequence\local blastp\"/>
    </mc:Choice>
  </mc:AlternateContent>
  <xr:revisionPtr revIDLastSave="0" documentId="13_ncr:1_{81C15089-965C-4D39-A1E2-A743B1BFDF9C}" xr6:coauthVersionLast="47" xr6:coauthVersionMax="47" xr10:uidLastSave="{00000000-0000-0000-0000-000000000000}"/>
  <bookViews>
    <workbookView xWindow="8170" yWindow="1730" windowWidth="18790" windowHeight="12400" xr2:uid="{5554982C-CB03-4DDC-96E8-46CD3910567E}"/>
  </bookViews>
  <sheets>
    <sheet name="blastp_lig_e20_results_clean_pl" sheetId="1" r:id="rId1"/>
    <sheet name="genus-Ligilactobacillus_all_he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" l="1"/>
  <c r="D38" i="1"/>
  <c r="C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C21" i="1"/>
  <c r="D21" i="1"/>
</calcChain>
</file>

<file path=xl/sharedStrings.xml><?xml version="1.0" encoding="utf-8"?>
<sst xmlns="http://schemas.openxmlformats.org/spreadsheetml/2006/main" count="128" uniqueCount="29">
  <si>
    <t>Ligilactobacillus</t>
  </si>
  <si>
    <t>salivarius</t>
  </si>
  <si>
    <t>murinus</t>
  </si>
  <si>
    <t>ruminis</t>
  </si>
  <si>
    <t>agilis</t>
  </si>
  <si>
    <t>aviarius</t>
  </si>
  <si>
    <t>animalis</t>
  </si>
  <si>
    <t>acidipiscis</t>
  </si>
  <si>
    <t>saerimneri</t>
  </si>
  <si>
    <t>sp.</t>
  </si>
  <si>
    <t>pobuzihii</t>
  </si>
  <si>
    <t>apodemi</t>
  </si>
  <si>
    <t>equi</t>
  </si>
  <si>
    <t>faecis</t>
  </si>
  <si>
    <t>hayakitensis</t>
  </si>
  <si>
    <t>ceti</t>
  </si>
  <si>
    <t>salitolerans</t>
  </si>
  <si>
    <t>pabuli</t>
  </si>
  <si>
    <t>cholophilus</t>
  </si>
  <si>
    <t>araffinosus</t>
  </si>
  <si>
    <t>total</t>
  </si>
  <si>
    <t>total</t>
    <phoneticPr fontId="18" type="noConversion"/>
  </si>
  <si>
    <t>species</t>
  </si>
  <si>
    <t>positive</t>
  </si>
  <si>
    <t>prev_pct</t>
  </si>
  <si>
    <t>ci_low_pct</t>
  </si>
  <si>
    <t>ci_high_pct</t>
  </si>
  <si>
    <t>gut microbe</t>
    <phoneticPr fontId="18" type="noConversion"/>
  </si>
  <si>
    <t>total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</si>
</sst>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67BE-A468-444D-B869-CA0E9342B60E}">
  <dimension ref="A1:L38"/>
  <sheetViews>
    <sheetView tabSelected="1" topLeftCell="A16" zoomScaleNormal="100" workbookViewId="0">
      <selection activeCell="H23" sqref="H23"/>
    </sheetView>
  </sheetViews>
  <sheetFormatPr defaultRowHeight="14" x14ac:dyDescent="0.3"/>
  <cols>
    <col min="1" max="1" width="16.33203125" customWidth="1"/>
    <col min="2" max="2" width="14.33203125" customWidth="1"/>
    <col min="7" max="7" width="11" customWidth="1"/>
  </cols>
  <sheetData>
    <row r="1" spans="1:5" x14ac:dyDescent="0.3">
      <c r="A1">
        <v>19</v>
      </c>
    </row>
    <row r="2" spans="1:5" x14ac:dyDescent="0.3">
      <c r="A2" t="s">
        <v>0</v>
      </c>
      <c r="B2" s="1" t="s">
        <v>7</v>
      </c>
      <c r="C2">
        <v>11</v>
      </c>
      <c r="D2">
        <v>12</v>
      </c>
      <c r="E2">
        <f>C2/D2*100</f>
        <v>91.666666666666657</v>
      </c>
    </row>
    <row r="3" spans="1:5" x14ac:dyDescent="0.3">
      <c r="A3" t="s">
        <v>0</v>
      </c>
      <c r="B3" s="1" t="s">
        <v>4</v>
      </c>
      <c r="C3">
        <v>39</v>
      </c>
      <c r="D3">
        <v>40</v>
      </c>
      <c r="E3">
        <f t="shared" ref="E3:E21" si="0">C3/D3*100</f>
        <v>97.5</v>
      </c>
    </row>
    <row r="4" spans="1:5" x14ac:dyDescent="0.3">
      <c r="A4" t="s">
        <v>0</v>
      </c>
      <c r="B4" s="1" t="s">
        <v>6</v>
      </c>
      <c r="C4">
        <v>17</v>
      </c>
      <c r="D4">
        <v>17</v>
      </c>
      <c r="E4">
        <f t="shared" si="0"/>
        <v>100</v>
      </c>
    </row>
    <row r="5" spans="1:5" x14ac:dyDescent="0.3">
      <c r="A5" t="s">
        <v>0</v>
      </c>
      <c r="B5" s="1" t="s">
        <v>11</v>
      </c>
      <c r="C5">
        <v>3</v>
      </c>
      <c r="D5">
        <v>3</v>
      </c>
      <c r="E5">
        <f t="shared" si="0"/>
        <v>100</v>
      </c>
    </row>
    <row r="6" spans="1:5" x14ac:dyDescent="0.3">
      <c r="A6" t="s">
        <v>0</v>
      </c>
      <c r="B6" t="s">
        <v>19</v>
      </c>
      <c r="C6">
        <v>1</v>
      </c>
      <c r="D6">
        <v>1</v>
      </c>
      <c r="E6">
        <f t="shared" si="0"/>
        <v>100</v>
      </c>
    </row>
    <row r="7" spans="1:5" x14ac:dyDescent="0.3">
      <c r="A7" t="s">
        <v>0</v>
      </c>
      <c r="B7" s="1" t="s">
        <v>5</v>
      </c>
      <c r="C7">
        <v>31</v>
      </c>
      <c r="D7">
        <v>31</v>
      </c>
      <c r="E7">
        <f t="shared" si="0"/>
        <v>100</v>
      </c>
    </row>
    <row r="8" spans="1:5" x14ac:dyDescent="0.3">
      <c r="A8" t="s">
        <v>0</v>
      </c>
      <c r="B8" s="1" t="s">
        <v>15</v>
      </c>
      <c r="C8">
        <v>2</v>
      </c>
      <c r="D8">
        <v>3</v>
      </c>
      <c r="E8">
        <f t="shared" si="0"/>
        <v>66.666666666666657</v>
      </c>
    </row>
    <row r="9" spans="1:5" x14ac:dyDescent="0.3">
      <c r="A9" t="s">
        <v>0</v>
      </c>
      <c r="B9" t="s">
        <v>18</v>
      </c>
      <c r="C9">
        <v>1</v>
      </c>
      <c r="D9">
        <v>1</v>
      </c>
      <c r="E9">
        <f t="shared" si="0"/>
        <v>100</v>
      </c>
    </row>
    <row r="10" spans="1:5" x14ac:dyDescent="0.3">
      <c r="A10" t="s">
        <v>0</v>
      </c>
      <c r="B10" s="1" t="s">
        <v>12</v>
      </c>
      <c r="C10">
        <v>3</v>
      </c>
      <c r="D10">
        <v>3</v>
      </c>
      <c r="E10">
        <f t="shared" si="0"/>
        <v>100</v>
      </c>
    </row>
    <row r="11" spans="1:5" x14ac:dyDescent="0.3">
      <c r="A11" t="s">
        <v>0</v>
      </c>
      <c r="B11" t="s">
        <v>13</v>
      </c>
      <c r="C11">
        <v>2</v>
      </c>
      <c r="D11">
        <v>2</v>
      </c>
      <c r="E11">
        <f t="shared" si="0"/>
        <v>100</v>
      </c>
    </row>
    <row r="12" spans="1:5" x14ac:dyDescent="0.3">
      <c r="A12" t="s">
        <v>0</v>
      </c>
      <c r="B12" s="1" t="s">
        <v>14</v>
      </c>
      <c r="C12">
        <v>2</v>
      </c>
      <c r="D12">
        <v>2</v>
      </c>
      <c r="E12">
        <f t="shared" si="0"/>
        <v>100</v>
      </c>
    </row>
    <row r="13" spans="1:5" x14ac:dyDescent="0.3">
      <c r="A13" t="s">
        <v>0</v>
      </c>
      <c r="B13" s="1" t="s">
        <v>2</v>
      </c>
      <c r="C13">
        <v>67</v>
      </c>
      <c r="D13">
        <v>67</v>
      </c>
      <c r="E13">
        <f t="shared" si="0"/>
        <v>100</v>
      </c>
    </row>
    <row r="14" spans="1:5" x14ac:dyDescent="0.3">
      <c r="A14" t="s">
        <v>0</v>
      </c>
      <c r="B14" t="s">
        <v>17</v>
      </c>
      <c r="C14">
        <v>1</v>
      </c>
      <c r="D14">
        <v>1</v>
      </c>
      <c r="E14">
        <f t="shared" si="0"/>
        <v>100</v>
      </c>
    </row>
    <row r="15" spans="1:5" x14ac:dyDescent="0.3">
      <c r="A15" t="s">
        <v>0</v>
      </c>
      <c r="B15" s="1" t="s">
        <v>10</v>
      </c>
      <c r="C15">
        <v>5</v>
      </c>
      <c r="D15">
        <v>7</v>
      </c>
      <c r="E15">
        <f t="shared" si="0"/>
        <v>71.428571428571431</v>
      </c>
    </row>
    <row r="16" spans="1:5" x14ac:dyDescent="0.3">
      <c r="A16" t="s">
        <v>0</v>
      </c>
      <c r="B16" s="1" t="s">
        <v>3</v>
      </c>
      <c r="C16">
        <v>66</v>
      </c>
      <c r="D16">
        <v>66</v>
      </c>
      <c r="E16">
        <f t="shared" si="0"/>
        <v>100</v>
      </c>
    </row>
    <row r="17" spans="1:12" x14ac:dyDescent="0.3">
      <c r="A17" t="s">
        <v>0</v>
      </c>
      <c r="B17" s="1" t="s">
        <v>8</v>
      </c>
      <c r="C17">
        <v>10</v>
      </c>
      <c r="D17">
        <v>11</v>
      </c>
      <c r="E17">
        <f t="shared" si="0"/>
        <v>90.909090909090907</v>
      </c>
    </row>
    <row r="18" spans="1:12" x14ac:dyDescent="0.3">
      <c r="A18" t="s">
        <v>0</v>
      </c>
      <c r="B18" s="1" t="s">
        <v>16</v>
      </c>
      <c r="C18">
        <v>1</v>
      </c>
      <c r="D18">
        <v>1</v>
      </c>
      <c r="E18">
        <f t="shared" si="0"/>
        <v>100</v>
      </c>
    </row>
    <row r="19" spans="1:12" x14ac:dyDescent="0.3">
      <c r="A19" t="s">
        <v>0</v>
      </c>
      <c r="B19" t="s">
        <v>1</v>
      </c>
      <c r="C19">
        <v>290</v>
      </c>
      <c r="D19">
        <v>295</v>
      </c>
      <c r="E19">
        <f t="shared" si="0"/>
        <v>98.305084745762713</v>
      </c>
    </row>
    <row r="20" spans="1:12" x14ac:dyDescent="0.3">
      <c r="A20" t="s">
        <v>0</v>
      </c>
      <c r="B20" s="1" t="s">
        <v>9</v>
      </c>
      <c r="C20">
        <v>13</v>
      </c>
      <c r="D20">
        <v>13</v>
      </c>
      <c r="E20">
        <f t="shared" si="0"/>
        <v>100</v>
      </c>
    </row>
    <row r="21" spans="1:12" x14ac:dyDescent="0.3">
      <c r="B21" s="1" t="s">
        <v>28</v>
      </c>
      <c r="C21">
        <f>SUM(C2:C20)</f>
        <v>565</v>
      </c>
      <c r="D21">
        <f>SUM(D2:D20)</f>
        <v>576</v>
      </c>
      <c r="E21">
        <f t="shared" si="0"/>
        <v>98.090277777777786</v>
      </c>
    </row>
    <row r="23" spans="1:12" x14ac:dyDescent="0.3">
      <c r="A23" s="2" t="s">
        <v>27</v>
      </c>
      <c r="B23" s="2"/>
      <c r="G23" t="s">
        <v>22</v>
      </c>
      <c r="H23" t="s">
        <v>23</v>
      </c>
      <c r="I23" t="s">
        <v>20</v>
      </c>
      <c r="J23" t="s">
        <v>24</v>
      </c>
      <c r="K23" t="s">
        <v>25</v>
      </c>
      <c r="L23" t="s">
        <v>26</v>
      </c>
    </row>
    <row r="24" spans="1:12" x14ac:dyDescent="0.3">
      <c r="A24" t="s">
        <v>0</v>
      </c>
      <c r="B24" s="1" t="s">
        <v>7</v>
      </c>
      <c r="C24">
        <v>11</v>
      </c>
      <c r="D24">
        <v>12</v>
      </c>
      <c r="E24">
        <f>C24/D24*100</f>
        <v>91.666666666666657</v>
      </c>
      <c r="G24" s="1" t="s">
        <v>7</v>
      </c>
      <c r="H24">
        <v>11</v>
      </c>
      <c r="I24">
        <v>12</v>
      </c>
      <c r="J24" s="1">
        <v>91.7</v>
      </c>
      <c r="K24" s="1">
        <v>62.5</v>
      </c>
      <c r="L24" s="1">
        <v>100</v>
      </c>
    </row>
    <row r="25" spans="1:12" x14ac:dyDescent="0.3">
      <c r="A25" t="s">
        <v>0</v>
      </c>
      <c r="B25" s="1" t="s">
        <v>4</v>
      </c>
      <c r="C25">
        <v>39</v>
      </c>
      <c r="D25">
        <v>40</v>
      </c>
      <c r="E25">
        <f t="shared" ref="E25:E38" si="1">C25/D25*100</f>
        <v>97.5</v>
      </c>
      <c r="G25" s="1" t="s">
        <v>4</v>
      </c>
      <c r="H25">
        <v>39</v>
      </c>
      <c r="I25">
        <v>40</v>
      </c>
      <c r="J25" s="1">
        <v>97.5</v>
      </c>
      <c r="K25" s="1">
        <v>86</v>
      </c>
      <c r="L25" s="1">
        <v>100</v>
      </c>
    </row>
    <row r="26" spans="1:12" x14ac:dyDescent="0.3">
      <c r="A26" t="s">
        <v>0</v>
      </c>
      <c r="B26" s="1" t="s">
        <v>6</v>
      </c>
      <c r="C26">
        <v>17</v>
      </c>
      <c r="D26">
        <v>17</v>
      </c>
      <c r="E26">
        <f t="shared" si="1"/>
        <v>100</v>
      </c>
      <c r="G26" s="1" t="s">
        <v>6</v>
      </c>
      <c r="H26">
        <v>17</v>
      </c>
      <c r="I26">
        <v>17</v>
      </c>
      <c r="J26" s="1">
        <v>100</v>
      </c>
      <c r="K26" s="1">
        <v>78.400000000000006</v>
      </c>
      <c r="L26" s="1">
        <v>100</v>
      </c>
    </row>
    <row r="27" spans="1:12" x14ac:dyDescent="0.3">
      <c r="A27" t="s">
        <v>0</v>
      </c>
      <c r="B27" s="1" t="s">
        <v>11</v>
      </c>
      <c r="C27">
        <v>3</v>
      </c>
      <c r="D27">
        <v>3</v>
      </c>
      <c r="E27">
        <f t="shared" si="1"/>
        <v>100</v>
      </c>
      <c r="G27" s="1" t="s">
        <v>11</v>
      </c>
      <c r="H27">
        <v>3</v>
      </c>
      <c r="I27">
        <v>3</v>
      </c>
      <c r="J27" s="1">
        <v>100</v>
      </c>
      <c r="K27" s="1">
        <v>38.299999999999997</v>
      </c>
      <c r="L27" s="1">
        <v>100</v>
      </c>
    </row>
    <row r="28" spans="1:12" x14ac:dyDescent="0.3">
      <c r="A28" t="s">
        <v>0</v>
      </c>
      <c r="B28" s="1" t="s">
        <v>5</v>
      </c>
      <c r="C28">
        <v>31</v>
      </c>
      <c r="D28">
        <v>31</v>
      </c>
      <c r="E28">
        <f t="shared" si="1"/>
        <v>100</v>
      </c>
      <c r="G28" s="1" t="s">
        <v>5</v>
      </c>
      <c r="H28">
        <v>31</v>
      </c>
      <c r="I28">
        <v>31</v>
      </c>
      <c r="J28" s="1">
        <v>100</v>
      </c>
      <c r="K28" s="1">
        <v>86.9</v>
      </c>
      <c r="L28" s="1">
        <v>100</v>
      </c>
    </row>
    <row r="29" spans="1:12" x14ac:dyDescent="0.3">
      <c r="A29" t="s">
        <v>0</v>
      </c>
      <c r="B29" s="1" t="s">
        <v>15</v>
      </c>
      <c r="C29">
        <v>2</v>
      </c>
      <c r="D29">
        <v>3</v>
      </c>
      <c r="E29">
        <f t="shared" si="1"/>
        <v>66.666666666666657</v>
      </c>
      <c r="G29" s="1" t="s">
        <v>15</v>
      </c>
      <c r="H29">
        <v>2</v>
      </c>
      <c r="I29">
        <v>3</v>
      </c>
      <c r="J29" s="1">
        <v>66.7</v>
      </c>
      <c r="K29" s="1">
        <v>20.2</v>
      </c>
      <c r="L29" s="1">
        <v>94.4</v>
      </c>
    </row>
    <row r="30" spans="1:12" x14ac:dyDescent="0.3">
      <c r="A30" t="s">
        <v>0</v>
      </c>
      <c r="B30" s="1" t="s">
        <v>12</v>
      </c>
      <c r="C30">
        <v>3</v>
      </c>
      <c r="D30">
        <v>3</v>
      </c>
      <c r="E30">
        <f t="shared" si="1"/>
        <v>100</v>
      </c>
      <c r="G30" s="1" t="s">
        <v>12</v>
      </c>
      <c r="H30">
        <v>3</v>
      </c>
      <c r="I30">
        <v>3</v>
      </c>
      <c r="J30" s="1">
        <v>100</v>
      </c>
      <c r="K30" s="1">
        <v>38.299999999999997</v>
      </c>
      <c r="L30" s="1">
        <v>100</v>
      </c>
    </row>
    <row r="31" spans="1:12" x14ac:dyDescent="0.3">
      <c r="A31" t="s">
        <v>0</v>
      </c>
      <c r="B31" s="1" t="s">
        <v>14</v>
      </c>
      <c r="C31">
        <v>2</v>
      </c>
      <c r="D31">
        <v>2</v>
      </c>
      <c r="E31">
        <f t="shared" si="1"/>
        <v>100</v>
      </c>
      <c r="G31" s="1" t="s">
        <v>14</v>
      </c>
      <c r="H31">
        <v>2</v>
      </c>
      <c r="I31">
        <v>2</v>
      </c>
      <c r="J31" s="1">
        <v>100</v>
      </c>
      <c r="K31" s="1">
        <v>29</v>
      </c>
      <c r="L31" s="1">
        <v>100</v>
      </c>
    </row>
    <row r="32" spans="1:12" x14ac:dyDescent="0.3">
      <c r="A32" t="s">
        <v>0</v>
      </c>
      <c r="B32" s="1" t="s">
        <v>2</v>
      </c>
      <c r="C32">
        <v>67</v>
      </c>
      <c r="D32">
        <v>67</v>
      </c>
      <c r="E32">
        <f t="shared" si="1"/>
        <v>100</v>
      </c>
      <c r="G32" s="1" t="s">
        <v>2</v>
      </c>
      <c r="H32">
        <v>67</v>
      </c>
      <c r="I32">
        <v>67</v>
      </c>
      <c r="J32" s="1">
        <v>100</v>
      </c>
      <c r="K32" s="1">
        <v>93.5</v>
      </c>
      <c r="L32" s="1">
        <v>100</v>
      </c>
    </row>
    <row r="33" spans="1:12" x14ac:dyDescent="0.3">
      <c r="A33" t="s">
        <v>0</v>
      </c>
      <c r="B33" s="1" t="s">
        <v>10</v>
      </c>
      <c r="C33">
        <v>5</v>
      </c>
      <c r="D33">
        <v>7</v>
      </c>
      <c r="E33">
        <f t="shared" si="1"/>
        <v>71.428571428571431</v>
      </c>
      <c r="G33" s="1" t="s">
        <v>10</v>
      </c>
      <c r="H33">
        <v>5</v>
      </c>
      <c r="I33">
        <v>7</v>
      </c>
      <c r="J33" s="1">
        <v>71.400000000000006</v>
      </c>
      <c r="K33" s="1">
        <v>35.200000000000003</v>
      </c>
      <c r="L33" s="1">
        <v>92.4</v>
      </c>
    </row>
    <row r="34" spans="1:12" x14ac:dyDescent="0.3">
      <c r="A34" t="s">
        <v>0</v>
      </c>
      <c r="B34" s="1" t="s">
        <v>3</v>
      </c>
      <c r="C34">
        <v>66</v>
      </c>
      <c r="D34">
        <v>66</v>
      </c>
      <c r="E34">
        <f t="shared" si="1"/>
        <v>100</v>
      </c>
      <c r="G34" s="1" t="s">
        <v>3</v>
      </c>
      <c r="H34">
        <v>66</v>
      </c>
      <c r="I34">
        <v>66</v>
      </c>
      <c r="J34" s="1">
        <v>100</v>
      </c>
      <c r="K34" s="1">
        <v>93.4</v>
      </c>
      <c r="L34" s="1">
        <v>100</v>
      </c>
    </row>
    <row r="35" spans="1:12" x14ac:dyDescent="0.3">
      <c r="A35" t="s">
        <v>0</v>
      </c>
      <c r="B35" s="1" t="s">
        <v>8</v>
      </c>
      <c r="C35">
        <v>10</v>
      </c>
      <c r="D35">
        <v>11</v>
      </c>
      <c r="E35">
        <f t="shared" si="1"/>
        <v>90.909090909090907</v>
      </c>
      <c r="G35" s="1" t="s">
        <v>8</v>
      </c>
      <c r="H35">
        <v>10</v>
      </c>
      <c r="I35">
        <v>11</v>
      </c>
      <c r="J35" s="1">
        <v>90.9</v>
      </c>
      <c r="K35" s="1">
        <v>60.1</v>
      </c>
      <c r="L35" s="1">
        <v>100</v>
      </c>
    </row>
    <row r="36" spans="1:12" x14ac:dyDescent="0.3">
      <c r="A36" t="s">
        <v>0</v>
      </c>
      <c r="B36" s="1" t="s">
        <v>16</v>
      </c>
      <c r="C36">
        <v>1</v>
      </c>
      <c r="D36">
        <v>1</v>
      </c>
      <c r="E36">
        <f t="shared" si="1"/>
        <v>100</v>
      </c>
      <c r="G36" s="1" t="s">
        <v>16</v>
      </c>
      <c r="H36">
        <v>1</v>
      </c>
      <c r="I36">
        <v>1</v>
      </c>
      <c r="J36" s="1">
        <v>100</v>
      </c>
      <c r="K36" s="1">
        <v>16.7</v>
      </c>
      <c r="L36" s="1">
        <v>100</v>
      </c>
    </row>
    <row r="37" spans="1:12" x14ac:dyDescent="0.3">
      <c r="A37" t="s">
        <v>0</v>
      </c>
      <c r="B37" s="1" t="s">
        <v>9</v>
      </c>
      <c r="C37">
        <v>13</v>
      </c>
      <c r="D37">
        <v>13</v>
      </c>
      <c r="E37">
        <f t="shared" si="1"/>
        <v>100</v>
      </c>
      <c r="G37" s="1" t="s">
        <v>9</v>
      </c>
      <c r="H37">
        <v>13</v>
      </c>
      <c r="I37">
        <v>13</v>
      </c>
      <c r="J37" s="1">
        <v>100</v>
      </c>
      <c r="K37" s="1">
        <v>73.400000000000006</v>
      </c>
      <c r="L37" s="1">
        <v>100</v>
      </c>
    </row>
    <row r="38" spans="1:12" x14ac:dyDescent="0.3">
      <c r="B38" s="1" t="s">
        <v>21</v>
      </c>
      <c r="C38">
        <f>SUM(C24:C37)</f>
        <v>270</v>
      </c>
      <c r="D38">
        <f>SUM(D24:D37)</f>
        <v>276</v>
      </c>
      <c r="E38">
        <f t="shared" si="1"/>
        <v>97.826086956521735</v>
      </c>
      <c r="G38" s="1" t="s">
        <v>21</v>
      </c>
      <c r="H38">
        <v>270</v>
      </c>
      <c r="I38">
        <v>276</v>
      </c>
      <c r="J38">
        <v>97.8</v>
      </c>
      <c r="K38">
        <v>95.2</v>
      </c>
      <c r="L38">
        <v>99.1</v>
      </c>
    </row>
  </sheetData>
  <sortState xmlns:xlrd2="http://schemas.microsoft.com/office/spreadsheetml/2017/richdata2" ref="A1:C21">
    <sortCondition ref="B1:B21"/>
  </sortState>
  <mergeCells count="1">
    <mergeCell ref="A23:B23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9165-78EE-4025-A127-89A0A90F4CF0}">
  <dimension ref="A1:C19"/>
  <sheetViews>
    <sheetView workbookViewId="0">
      <selection activeCell="H15" sqref="H15"/>
    </sheetView>
  </sheetViews>
  <sheetFormatPr defaultRowHeight="14" x14ac:dyDescent="0.3"/>
  <cols>
    <col min="1" max="1" width="16.9140625" customWidth="1"/>
  </cols>
  <sheetData>
    <row r="1" spans="1:3" x14ac:dyDescent="0.3">
      <c r="A1" t="s">
        <v>0</v>
      </c>
      <c r="B1" t="s">
        <v>7</v>
      </c>
      <c r="C1">
        <v>12</v>
      </c>
    </row>
    <row r="2" spans="1:3" x14ac:dyDescent="0.3">
      <c r="A2" t="s">
        <v>0</v>
      </c>
      <c r="B2" t="s">
        <v>4</v>
      </c>
      <c r="C2">
        <v>40</v>
      </c>
    </row>
    <row r="3" spans="1:3" x14ac:dyDescent="0.3">
      <c r="A3" t="s">
        <v>0</v>
      </c>
      <c r="B3" t="s">
        <v>6</v>
      </c>
      <c r="C3">
        <v>17</v>
      </c>
    </row>
    <row r="4" spans="1:3" x14ac:dyDescent="0.3">
      <c r="A4" t="s">
        <v>0</v>
      </c>
      <c r="B4" t="s">
        <v>11</v>
      </c>
      <c r="C4">
        <v>3</v>
      </c>
    </row>
    <row r="5" spans="1:3" x14ac:dyDescent="0.3">
      <c r="A5" t="s">
        <v>0</v>
      </c>
      <c r="B5" t="s">
        <v>19</v>
      </c>
      <c r="C5">
        <v>1</v>
      </c>
    </row>
    <row r="6" spans="1:3" x14ac:dyDescent="0.3">
      <c r="A6" t="s">
        <v>0</v>
      </c>
      <c r="B6" t="s">
        <v>5</v>
      </c>
      <c r="C6">
        <v>31</v>
      </c>
    </row>
    <row r="7" spans="1:3" x14ac:dyDescent="0.3">
      <c r="A7" t="s">
        <v>0</v>
      </c>
      <c r="B7" t="s">
        <v>15</v>
      </c>
      <c r="C7">
        <v>3</v>
      </c>
    </row>
    <row r="8" spans="1:3" x14ac:dyDescent="0.3">
      <c r="A8" t="s">
        <v>0</v>
      </c>
      <c r="B8" t="s">
        <v>18</v>
      </c>
      <c r="C8">
        <v>1</v>
      </c>
    </row>
    <row r="9" spans="1:3" x14ac:dyDescent="0.3">
      <c r="A9" t="s">
        <v>0</v>
      </c>
      <c r="B9" t="s">
        <v>12</v>
      </c>
      <c r="C9">
        <v>3</v>
      </c>
    </row>
    <row r="10" spans="1:3" x14ac:dyDescent="0.3">
      <c r="A10" t="s">
        <v>0</v>
      </c>
      <c r="B10" t="s">
        <v>13</v>
      </c>
      <c r="C10">
        <v>2</v>
      </c>
    </row>
    <row r="11" spans="1:3" x14ac:dyDescent="0.3">
      <c r="A11" t="s">
        <v>0</v>
      </c>
      <c r="B11" t="s">
        <v>14</v>
      </c>
      <c r="C11">
        <v>2</v>
      </c>
    </row>
    <row r="12" spans="1:3" x14ac:dyDescent="0.3">
      <c r="A12" t="s">
        <v>0</v>
      </c>
      <c r="B12" t="s">
        <v>2</v>
      </c>
      <c r="C12">
        <v>67</v>
      </c>
    </row>
    <row r="13" spans="1:3" x14ac:dyDescent="0.3">
      <c r="A13" t="s">
        <v>0</v>
      </c>
      <c r="B13" t="s">
        <v>17</v>
      </c>
      <c r="C13">
        <v>1</v>
      </c>
    </row>
    <row r="14" spans="1:3" x14ac:dyDescent="0.3">
      <c r="A14" t="s">
        <v>0</v>
      </c>
      <c r="B14" t="s">
        <v>10</v>
      </c>
      <c r="C14">
        <v>7</v>
      </c>
    </row>
    <row r="15" spans="1:3" x14ac:dyDescent="0.3">
      <c r="A15" t="s">
        <v>0</v>
      </c>
      <c r="B15" t="s">
        <v>3</v>
      </c>
      <c r="C15">
        <v>66</v>
      </c>
    </row>
    <row r="16" spans="1:3" x14ac:dyDescent="0.3">
      <c r="A16" t="s">
        <v>0</v>
      </c>
      <c r="B16" t="s">
        <v>8</v>
      </c>
      <c r="C16">
        <v>11</v>
      </c>
    </row>
    <row r="17" spans="1:3" x14ac:dyDescent="0.3">
      <c r="A17" t="s">
        <v>0</v>
      </c>
      <c r="B17" t="s">
        <v>16</v>
      </c>
      <c r="C17">
        <v>1</v>
      </c>
    </row>
    <row r="18" spans="1:3" x14ac:dyDescent="0.3">
      <c r="A18" t="s">
        <v>0</v>
      </c>
      <c r="B18" t="s">
        <v>1</v>
      </c>
      <c r="C18">
        <v>295</v>
      </c>
    </row>
    <row r="19" spans="1:3" x14ac:dyDescent="0.3">
      <c r="A19" t="s">
        <v>0</v>
      </c>
      <c r="B19" t="s">
        <v>9</v>
      </c>
      <c r="C19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blastp_lig_e20_results_clean_pl</vt:lpstr>
      <vt:lpstr>genus-Ligilactobacillus_all_hea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王一晴</dc:creator>
  <cp:lastModifiedBy>一晴 王</cp:lastModifiedBy>
  <dcterms:created xsi:type="dcterms:W3CDTF">2025-12-05T05:48:08Z</dcterms:created>
  <dcterms:modified xsi:type="dcterms:W3CDTF">2026-10-18T15:12:14Z</dcterms:modified>
</cp:coreProperties>
</file>