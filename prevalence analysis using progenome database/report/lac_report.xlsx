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北航生物医学工程·博士生·益生菌\07 GLP-1 丁酸 HFD\0 SCI 投稿\01 Nature microbiology\Argue\sequence\local blastp\"/>
    </mc:Choice>
  </mc:AlternateContent>
  <xr:revisionPtr revIDLastSave="0" documentId="13_ncr:1_{D18E3026-99A9-43F8-A41D-2D33D88DF0D7}" xr6:coauthVersionLast="47" xr6:coauthVersionMax="47" xr10:uidLastSave="{00000000-0000-0000-0000-000000000000}"/>
  <bookViews>
    <workbookView xWindow="6080" yWindow="750" windowWidth="18790" windowHeight="12400" xr2:uid="{3EB275D0-13C0-4874-9CF4-274C920F4EAE}"/>
  </bookViews>
  <sheets>
    <sheet name="lac_report" sheetId="1" r:id="rId1"/>
    <sheet name="lac_a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E47" i="1" s="1"/>
  <c r="E63" i="1"/>
  <c r="D63" i="1"/>
  <c r="C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C47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<sst xmlns="http://schemas.openxmlformats.org/spreadsheetml/2006/main" count="235" uniqueCount="58">
  <si>
    <t>report</t>
  </si>
  <si>
    <t>absiana</t>
  </si>
  <si>
    <t>Lactobacillus</t>
  </si>
  <si>
    <t>acetotolerans</t>
  </si>
  <si>
    <t>acidophilus</t>
  </si>
  <si>
    <t>amylovorus</t>
  </si>
  <si>
    <t>apis</t>
  </si>
  <si>
    <t>bombicola</t>
  </si>
  <si>
    <t>colini</t>
  </si>
  <si>
    <t>corticis</t>
  </si>
  <si>
    <t>crispatus</t>
  </si>
  <si>
    <t>delbrueckii</t>
  </si>
  <si>
    <t>equicursoris</t>
  </si>
  <si>
    <t>gallinarum</t>
  </si>
  <si>
    <t>gasseri</t>
  </si>
  <si>
    <t>gigeriorum</t>
  </si>
  <si>
    <t>hamsteri</t>
  </si>
  <si>
    <t>helsingborgensis</t>
  </si>
  <si>
    <t>helveticus</t>
  </si>
  <si>
    <t>hominis</t>
  </si>
  <si>
    <t>huangpiensis</t>
  </si>
  <si>
    <t>iners</t>
  </si>
  <si>
    <t>intestinalis</t>
  </si>
  <si>
    <t>jensenii</t>
  </si>
  <si>
    <t>johnsonii</t>
  </si>
  <si>
    <t>juensis</t>
  </si>
  <si>
    <t>kalixensis</t>
  </si>
  <si>
    <t>kefiranofaciens</t>
  </si>
  <si>
    <t>kimbladii</t>
  </si>
  <si>
    <t>kitasatonis</t>
  </si>
  <si>
    <t>kullabergensis</t>
  </si>
  <si>
    <t>laiwuensis</t>
  </si>
  <si>
    <t>leichmannii</t>
  </si>
  <si>
    <t>melliventris</t>
  </si>
  <si>
    <t>mulieris</t>
  </si>
  <si>
    <t>panisapium</t>
  </si>
  <si>
    <t>paragasseri</t>
  </si>
  <si>
    <t>pasteurii</t>
  </si>
  <si>
    <t>porci</t>
  </si>
  <si>
    <t>psittaci</t>
  </si>
  <si>
    <t>rizhaonensis</t>
  </si>
  <si>
    <t>rodentium</t>
  </si>
  <si>
    <t>sp.</t>
  </si>
  <si>
    <t>taiwanensis</t>
  </si>
  <si>
    <t>ultunensis</t>
  </si>
  <si>
    <t>xylocopicola</t>
  </si>
  <si>
    <t>all</t>
    <phoneticPr fontId="18" type="noConversion"/>
  </si>
  <si>
    <t>amylolyticus</t>
  </si>
  <si>
    <t>Lactobacillaceae</t>
    <phoneticPr fontId="18" type="noConversion"/>
  </si>
  <si>
    <t>bacterium</t>
    <phoneticPr fontId="18" type="noConversion"/>
  </si>
  <si>
    <t>species</t>
  </si>
  <si>
    <t>positive</t>
  </si>
  <si>
    <t>total</t>
  </si>
  <si>
    <t>prev_pct</t>
  </si>
  <si>
    <t>ci_low_pct</t>
  </si>
  <si>
    <t>ci_high_pct</t>
  </si>
  <si>
    <t>total</t>
    <phoneticPr fontId="18" type="noConversion"/>
  </si>
  <si>
    <t>gut microbe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</si>
</sst>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Fill="1">
      <alignment vertical="center"/>
    </xf>
    <xf numFmtId="0" fontId="19" fillId="0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10AD-0834-49E2-89D0-35F8BE7C70FB}">
  <dimension ref="A1:L63"/>
  <sheetViews>
    <sheetView tabSelected="1" topLeftCell="A31" workbookViewId="0">
      <selection activeCell="N51" sqref="N51"/>
    </sheetView>
  </sheetViews>
  <sheetFormatPr defaultRowHeight="14" x14ac:dyDescent="0.3"/>
  <cols>
    <col min="1" max="1" width="13.6640625" customWidth="1"/>
    <col min="2" max="2" width="16.83203125" customWidth="1"/>
    <col min="7" max="7" width="14.75" customWidth="1"/>
  </cols>
  <sheetData>
    <row r="1" spans="1:5" s="2" customFormat="1" x14ac:dyDescent="0.3">
      <c r="B1" s="2">
        <v>45</v>
      </c>
      <c r="C1" s="2" t="s">
        <v>0</v>
      </c>
      <c r="D1" s="2" t="s">
        <v>46</v>
      </c>
    </row>
    <row r="2" spans="1:5" s="2" customFormat="1" x14ac:dyDescent="0.3">
      <c r="A2" s="2" t="s">
        <v>2</v>
      </c>
      <c r="B2" s="2" t="s">
        <v>1</v>
      </c>
      <c r="C2" s="2">
        <v>1</v>
      </c>
      <c r="D2" s="2">
        <v>1</v>
      </c>
      <c r="E2" s="2">
        <f>C2/D2*100</f>
        <v>100</v>
      </c>
    </row>
    <row r="3" spans="1:5" s="2" customFormat="1" x14ac:dyDescent="0.3">
      <c r="A3" s="2" t="s">
        <v>2</v>
      </c>
      <c r="B3" s="3" t="s">
        <v>3</v>
      </c>
      <c r="C3" s="2">
        <v>8</v>
      </c>
      <c r="D3" s="2">
        <v>8</v>
      </c>
      <c r="E3" s="2">
        <f t="shared" ref="E3:E46" si="0">C3/D3*100</f>
        <v>100</v>
      </c>
    </row>
    <row r="4" spans="1:5" s="2" customFormat="1" x14ac:dyDescent="0.3">
      <c r="A4" s="2" t="s">
        <v>2</v>
      </c>
      <c r="B4" s="2" t="s">
        <v>4</v>
      </c>
      <c r="C4" s="2">
        <v>121</v>
      </c>
      <c r="D4" s="2">
        <v>124</v>
      </c>
      <c r="E4" s="2">
        <f t="shared" si="0"/>
        <v>97.58064516129032</v>
      </c>
    </row>
    <row r="5" spans="1:5" s="2" customFormat="1" x14ac:dyDescent="0.3">
      <c r="A5" s="2" t="s">
        <v>2</v>
      </c>
      <c r="B5" s="3" t="s">
        <v>5</v>
      </c>
      <c r="C5" s="2">
        <v>65</v>
      </c>
      <c r="D5" s="2">
        <v>67</v>
      </c>
      <c r="E5" s="2">
        <f t="shared" si="0"/>
        <v>97.014925373134332</v>
      </c>
    </row>
    <row r="6" spans="1:5" s="2" customFormat="1" x14ac:dyDescent="0.3">
      <c r="A6" s="2" t="s">
        <v>2</v>
      </c>
      <c r="B6" s="3" t="s">
        <v>6</v>
      </c>
      <c r="C6" s="2">
        <v>7</v>
      </c>
      <c r="D6" s="2">
        <v>7</v>
      </c>
      <c r="E6" s="2">
        <f t="shared" si="0"/>
        <v>100</v>
      </c>
    </row>
    <row r="7" spans="1:5" s="2" customFormat="1" x14ac:dyDescent="0.3">
      <c r="A7" s="2" t="s">
        <v>2</v>
      </c>
      <c r="B7" s="2" t="s">
        <v>7</v>
      </c>
      <c r="C7" s="2">
        <v>6</v>
      </c>
      <c r="D7" s="2">
        <v>6</v>
      </c>
      <c r="E7" s="2">
        <f t="shared" si="0"/>
        <v>100</v>
      </c>
    </row>
    <row r="8" spans="1:5" s="2" customFormat="1" x14ac:dyDescent="0.3">
      <c r="A8" s="2" t="s">
        <v>2</v>
      </c>
      <c r="B8" s="2" t="s">
        <v>8</v>
      </c>
      <c r="C8" s="2">
        <v>1</v>
      </c>
      <c r="D8" s="2">
        <v>1</v>
      </c>
      <c r="E8" s="2">
        <f t="shared" si="0"/>
        <v>100</v>
      </c>
    </row>
    <row r="9" spans="1:5" s="2" customFormat="1" x14ac:dyDescent="0.3">
      <c r="A9" s="2" t="s">
        <v>2</v>
      </c>
      <c r="B9" s="2" t="s">
        <v>9</v>
      </c>
      <c r="C9" s="2">
        <v>1</v>
      </c>
      <c r="D9" s="2">
        <v>1</v>
      </c>
      <c r="E9" s="2">
        <f t="shared" si="0"/>
        <v>100</v>
      </c>
    </row>
    <row r="10" spans="1:5" s="2" customFormat="1" x14ac:dyDescent="0.3">
      <c r="A10" s="2" t="s">
        <v>2</v>
      </c>
      <c r="B10" s="3" t="s">
        <v>10</v>
      </c>
      <c r="C10" s="2">
        <v>420</v>
      </c>
      <c r="D10" s="2">
        <v>427</v>
      </c>
      <c r="E10" s="2">
        <f t="shared" si="0"/>
        <v>98.360655737704917</v>
      </c>
    </row>
    <row r="11" spans="1:5" s="2" customFormat="1" x14ac:dyDescent="0.3">
      <c r="A11" s="2" t="s">
        <v>2</v>
      </c>
      <c r="B11" s="2" t="s">
        <v>11</v>
      </c>
      <c r="C11" s="2">
        <v>453</v>
      </c>
      <c r="D11" s="2">
        <v>632</v>
      </c>
      <c r="E11" s="2">
        <f t="shared" si="0"/>
        <v>71.677215189873422</v>
      </c>
    </row>
    <row r="12" spans="1:5" s="2" customFormat="1" x14ac:dyDescent="0.3">
      <c r="A12" s="2" t="s">
        <v>48</v>
      </c>
      <c r="B12" s="2" t="s">
        <v>49</v>
      </c>
      <c r="C12" s="2">
        <v>2</v>
      </c>
      <c r="D12" s="2">
        <v>2</v>
      </c>
      <c r="E12" s="2">
        <f t="shared" si="0"/>
        <v>100</v>
      </c>
    </row>
    <row r="13" spans="1:5" s="2" customFormat="1" x14ac:dyDescent="0.3">
      <c r="A13" s="2" t="s">
        <v>2</v>
      </c>
      <c r="B13" s="2" t="s">
        <v>12</v>
      </c>
      <c r="C13" s="2">
        <v>3</v>
      </c>
      <c r="D13" s="2">
        <v>3</v>
      </c>
      <c r="E13" s="2">
        <f t="shared" si="0"/>
        <v>100</v>
      </c>
    </row>
    <row r="14" spans="1:5" s="2" customFormat="1" x14ac:dyDescent="0.3">
      <c r="A14" s="2" t="s">
        <v>2</v>
      </c>
      <c r="B14" s="2" t="s">
        <v>13</v>
      </c>
      <c r="C14" s="2">
        <v>14</v>
      </c>
      <c r="D14" s="2">
        <v>14</v>
      </c>
      <c r="E14" s="2">
        <f t="shared" si="0"/>
        <v>100</v>
      </c>
    </row>
    <row r="15" spans="1:5" s="2" customFormat="1" x14ac:dyDescent="0.3">
      <c r="A15" s="2" t="s">
        <v>2</v>
      </c>
      <c r="B15" s="2" t="s">
        <v>14</v>
      </c>
      <c r="C15" s="2">
        <v>268</v>
      </c>
      <c r="D15" s="2">
        <v>271</v>
      </c>
      <c r="E15" s="2">
        <f t="shared" si="0"/>
        <v>98.892988929889299</v>
      </c>
    </row>
    <row r="16" spans="1:5" s="2" customFormat="1" x14ac:dyDescent="0.3">
      <c r="A16" s="2" t="s">
        <v>2</v>
      </c>
      <c r="B16" s="2" t="s">
        <v>15</v>
      </c>
      <c r="C16" s="2">
        <v>2</v>
      </c>
      <c r="D16" s="2">
        <v>2</v>
      </c>
      <c r="E16" s="2">
        <f t="shared" si="0"/>
        <v>100</v>
      </c>
    </row>
    <row r="17" spans="1:5" s="2" customFormat="1" x14ac:dyDescent="0.3">
      <c r="A17" s="2" t="s">
        <v>2</v>
      </c>
      <c r="B17" s="3" t="s">
        <v>16</v>
      </c>
      <c r="C17" s="2">
        <v>3</v>
      </c>
      <c r="D17" s="2">
        <v>3</v>
      </c>
      <c r="E17" s="2">
        <f t="shared" si="0"/>
        <v>100</v>
      </c>
    </row>
    <row r="18" spans="1:5" s="2" customFormat="1" x14ac:dyDescent="0.3">
      <c r="A18" s="2" t="s">
        <v>2</v>
      </c>
      <c r="B18" s="2" t="s">
        <v>17</v>
      </c>
      <c r="C18" s="2">
        <v>6</v>
      </c>
      <c r="D18" s="2">
        <v>6</v>
      </c>
      <c r="E18" s="2">
        <f t="shared" si="0"/>
        <v>100</v>
      </c>
    </row>
    <row r="19" spans="1:5" s="2" customFormat="1" x14ac:dyDescent="0.3">
      <c r="A19" s="2" t="s">
        <v>2</v>
      </c>
      <c r="B19" s="3" t="s">
        <v>18</v>
      </c>
      <c r="C19" s="2">
        <v>205</v>
      </c>
      <c r="D19" s="2">
        <v>213</v>
      </c>
      <c r="E19" s="2">
        <f t="shared" si="0"/>
        <v>96.244131455399057</v>
      </c>
    </row>
    <row r="20" spans="1:5" s="2" customFormat="1" x14ac:dyDescent="0.3">
      <c r="A20" s="2" t="s">
        <v>2</v>
      </c>
      <c r="B20" s="2" t="s">
        <v>19</v>
      </c>
      <c r="C20" s="2">
        <v>4</v>
      </c>
      <c r="D20" s="2">
        <v>4</v>
      </c>
      <c r="E20" s="2">
        <f t="shared" si="0"/>
        <v>100</v>
      </c>
    </row>
    <row r="21" spans="1:5" s="2" customFormat="1" x14ac:dyDescent="0.3">
      <c r="A21" s="2" t="s">
        <v>2</v>
      </c>
      <c r="B21" s="3" t="s">
        <v>20</v>
      </c>
      <c r="C21" s="2">
        <v>2</v>
      </c>
      <c r="D21" s="2">
        <v>2</v>
      </c>
      <c r="E21" s="2">
        <f t="shared" si="0"/>
        <v>100</v>
      </c>
    </row>
    <row r="22" spans="1:5" s="2" customFormat="1" x14ac:dyDescent="0.3">
      <c r="A22" s="2" t="s">
        <v>2</v>
      </c>
      <c r="B22" s="2" t="s">
        <v>21</v>
      </c>
      <c r="C22" s="2">
        <v>79</v>
      </c>
      <c r="D22" s="2">
        <v>79</v>
      </c>
      <c r="E22" s="2">
        <f t="shared" si="0"/>
        <v>100</v>
      </c>
    </row>
    <row r="23" spans="1:5" s="2" customFormat="1" x14ac:dyDescent="0.3">
      <c r="A23" s="2" t="s">
        <v>2</v>
      </c>
      <c r="B23" s="3" t="s">
        <v>22</v>
      </c>
      <c r="C23" s="2">
        <v>12</v>
      </c>
      <c r="D23" s="2">
        <v>12</v>
      </c>
      <c r="E23" s="2">
        <f t="shared" si="0"/>
        <v>100</v>
      </c>
    </row>
    <row r="24" spans="1:5" s="2" customFormat="1" x14ac:dyDescent="0.3">
      <c r="A24" s="2" t="s">
        <v>2</v>
      </c>
      <c r="B24" s="2" t="s">
        <v>23</v>
      </c>
      <c r="C24" s="2">
        <v>103</v>
      </c>
      <c r="D24" s="2">
        <v>106</v>
      </c>
      <c r="E24" s="2">
        <f t="shared" si="0"/>
        <v>97.169811320754718</v>
      </c>
    </row>
    <row r="25" spans="1:5" s="2" customFormat="1" x14ac:dyDescent="0.3">
      <c r="A25" s="2" t="s">
        <v>2</v>
      </c>
      <c r="B25" s="3" t="s">
        <v>24</v>
      </c>
      <c r="C25" s="2">
        <v>90</v>
      </c>
      <c r="D25" s="2">
        <v>95</v>
      </c>
      <c r="E25" s="2">
        <f t="shared" si="0"/>
        <v>94.73684210526315</v>
      </c>
    </row>
    <row r="26" spans="1:5" s="2" customFormat="1" x14ac:dyDescent="0.3">
      <c r="A26" s="2" t="s">
        <v>2</v>
      </c>
      <c r="B26" s="2" t="s">
        <v>25</v>
      </c>
      <c r="C26" s="2">
        <v>2</v>
      </c>
      <c r="D26" s="2">
        <v>2</v>
      </c>
      <c r="E26" s="2">
        <f>C26/D26*100</f>
        <v>100</v>
      </c>
    </row>
    <row r="27" spans="1:5" s="2" customFormat="1" x14ac:dyDescent="0.3">
      <c r="A27" s="2" t="s">
        <v>2</v>
      </c>
      <c r="B27" s="2" t="s">
        <v>26</v>
      </c>
      <c r="C27" s="2">
        <v>1</v>
      </c>
      <c r="D27" s="2">
        <v>1</v>
      </c>
      <c r="E27" s="2">
        <f t="shared" si="0"/>
        <v>100</v>
      </c>
    </row>
    <row r="28" spans="1:5" s="2" customFormat="1" x14ac:dyDescent="0.3">
      <c r="A28" s="2" t="s">
        <v>2</v>
      </c>
      <c r="B28" s="3" t="s">
        <v>27</v>
      </c>
      <c r="C28" s="2">
        <v>16</v>
      </c>
      <c r="D28" s="2">
        <v>16</v>
      </c>
      <c r="E28" s="2">
        <f t="shared" si="0"/>
        <v>100</v>
      </c>
    </row>
    <row r="29" spans="1:5" s="2" customFormat="1" x14ac:dyDescent="0.3">
      <c r="A29" s="2" t="s">
        <v>2</v>
      </c>
      <c r="B29" s="2" t="s">
        <v>28</v>
      </c>
      <c r="C29" s="2">
        <v>3</v>
      </c>
      <c r="D29" s="2">
        <v>3</v>
      </c>
      <c r="E29" s="2">
        <f t="shared" si="0"/>
        <v>100</v>
      </c>
    </row>
    <row r="30" spans="1:5" s="2" customFormat="1" x14ac:dyDescent="0.3">
      <c r="A30" s="2" t="s">
        <v>2</v>
      </c>
      <c r="B30" s="2" t="s">
        <v>29</v>
      </c>
      <c r="C30" s="2">
        <v>3</v>
      </c>
      <c r="D30" s="2">
        <v>3</v>
      </c>
      <c r="E30" s="2">
        <f t="shared" si="0"/>
        <v>100</v>
      </c>
    </row>
    <row r="31" spans="1:5" s="2" customFormat="1" x14ac:dyDescent="0.3">
      <c r="A31" s="2" t="s">
        <v>2</v>
      </c>
      <c r="B31" s="2" t="s">
        <v>30</v>
      </c>
      <c r="C31" s="2">
        <v>5</v>
      </c>
      <c r="D31" s="2">
        <v>5</v>
      </c>
      <c r="E31" s="2">
        <f t="shared" si="0"/>
        <v>100</v>
      </c>
    </row>
    <row r="32" spans="1:5" s="2" customFormat="1" x14ac:dyDescent="0.3">
      <c r="A32" s="2" t="s">
        <v>2</v>
      </c>
      <c r="B32" s="2" t="s">
        <v>31</v>
      </c>
      <c r="C32" s="2">
        <v>1</v>
      </c>
      <c r="D32" s="2">
        <v>1</v>
      </c>
      <c r="E32" s="2">
        <f t="shared" si="0"/>
        <v>100</v>
      </c>
    </row>
    <row r="33" spans="1:12" s="2" customFormat="1" x14ac:dyDescent="0.3">
      <c r="A33" s="2" t="s">
        <v>2</v>
      </c>
      <c r="B33" s="2" t="s">
        <v>32</v>
      </c>
      <c r="C33" s="2">
        <v>1</v>
      </c>
      <c r="D33" s="2">
        <v>1</v>
      </c>
      <c r="E33" s="2">
        <f t="shared" si="0"/>
        <v>100</v>
      </c>
    </row>
    <row r="34" spans="1:12" s="2" customFormat="1" x14ac:dyDescent="0.3">
      <c r="A34" s="2" t="s">
        <v>2</v>
      </c>
      <c r="B34" s="3" t="s">
        <v>33</v>
      </c>
      <c r="C34" s="2">
        <v>5</v>
      </c>
      <c r="D34" s="2">
        <v>5</v>
      </c>
      <c r="E34" s="2">
        <f t="shared" si="0"/>
        <v>100</v>
      </c>
    </row>
    <row r="35" spans="1:12" s="2" customFormat="1" x14ac:dyDescent="0.3">
      <c r="A35" s="2" t="s">
        <v>2</v>
      </c>
      <c r="B35" s="2" t="s">
        <v>34</v>
      </c>
      <c r="C35" s="2">
        <v>51</v>
      </c>
      <c r="D35" s="2">
        <v>51</v>
      </c>
      <c r="E35" s="2">
        <f t="shared" si="0"/>
        <v>100</v>
      </c>
    </row>
    <row r="36" spans="1:12" s="2" customFormat="1" x14ac:dyDescent="0.3">
      <c r="A36" s="2" t="s">
        <v>2</v>
      </c>
      <c r="B36" s="3" t="s">
        <v>35</v>
      </c>
      <c r="C36" s="2">
        <v>3</v>
      </c>
      <c r="D36" s="2">
        <v>3</v>
      </c>
      <c r="E36" s="2">
        <f t="shared" si="0"/>
        <v>100</v>
      </c>
    </row>
    <row r="37" spans="1:12" s="2" customFormat="1" x14ac:dyDescent="0.3">
      <c r="A37" s="2" t="s">
        <v>2</v>
      </c>
      <c r="B37" s="2" t="s">
        <v>36</v>
      </c>
      <c r="C37" s="2">
        <v>70</v>
      </c>
      <c r="D37" s="2">
        <v>71</v>
      </c>
      <c r="E37" s="2">
        <f t="shared" si="0"/>
        <v>98.591549295774655</v>
      </c>
    </row>
    <row r="38" spans="1:12" s="2" customFormat="1" x14ac:dyDescent="0.3">
      <c r="A38" s="2" t="s">
        <v>2</v>
      </c>
      <c r="B38" s="3" t="s">
        <v>37</v>
      </c>
      <c r="C38" s="2">
        <v>3</v>
      </c>
      <c r="D38" s="2">
        <v>3</v>
      </c>
      <c r="E38" s="2">
        <f t="shared" si="0"/>
        <v>100</v>
      </c>
    </row>
    <row r="39" spans="1:12" s="2" customFormat="1" x14ac:dyDescent="0.3">
      <c r="A39" s="2" t="s">
        <v>2</v>
      </c>
      <c r="B39" s="2" t="s">
        <v>38</v>
      </c>
      <c r="C39" s="2">
        <v>3</v>
      </c>
      <c r="D39" s="2">
        <v>3</v>
      </c>
      <c r="E39" s="2">
        <f t="shared" si="0"/>
        <v>100</v>
      </c>
    </row>
    <row r="40" spans="1:12" s="2" customFormat="1" x14ac:dyDescent="0.3">
      <c r="A40" s="2" t="s">
        <v>2</v>
      </c>
      <c r="B40" s="2" t="s">
        <v>39</v>
      </c>
      <c r="C40" s="2">
        <v>3</v>
      </c>
      <c r="D40" s="2">
        <v>3</v>
      </c>
      <c r="E40" s="2">
        <f t="shared" si="0"/>
        <v>100</v>
      </c>
    </row>
    <row r="41" spans="1:12" s="2" customFormat="1" x14ac:dyDescent="0.3">
      <c r="A41" s="2" t="s">
        <v>2</v>
      </c>
      <c r="B41" s="2" t="s">
        <v>40</v>
      </c>
      <c r="C41" s="2">
        <v>2</v>
      </c>
      <c r="D41" s="2">
        <v>2</v>
      </c>
      <c r="E41" s="2">
        <f t="shared" si="0"/>
        <v>100</v>
      </c>
    </row>
    <row r="42" spans="1:12" s="2" customFormat="1" x14ac:dyDescent="0.3">
      <c r="A42" s="2" t="s">
        <v>2</v>
      </c>
      <c r="B42" s="3" t="s">
        <v>41</v>
      </c>
      <c r="C42" s="2">
        <v>3</v>
      </c>
      <c r="D42" s="2">
        <v>3</v>
      </c>
      <c r="E42" s="2">
        <f t="shared" si="0"/>
        <v>100</v>
      </c>
    </row>
    <row r="43" spans="1:12" s="2" customFormat="1" x14ac:dyDescent="0.3">
      <c r="A43" s="2" t="s">
        <v>2</v>
      </c>
      <c r="B43" s="2" t="s">
        <v>42</v>
      </c>
      <c r="C43" s="2">
        <v>69</v>
      </c>
      <c r="D43" s="2">
        <v>74</v>
      </c>
      <c r="E43" s="2">
        <f t="shared" si="0"/>
        <v>93.243243243243242</v>
      </c>
    </row>
    <row r="44" spans="1:12" s="2" customFormat="1" x14ac:dyDescent="0.3">
      <c r="A44" s="2" t="s">
        <v>2</v>
      </c>
      <c r="B44" s="2" t="s">
        <v>43</v>
      </c>
      <c r="C44" s="2">
        <v>30</v>
      </c>
      <c r="D44" s="2">
        <v>30</v>
      </c>
      <c r="E44" s="2">
        <f t="shared" si="0"/>
        <v>100</v>
      </c>
    </row>
    <row r="45" spans="1:12" x14ac:dyDescent="0.3">
      <c r="A45" t="s">
        <v>2</v>
      </c>
      <c r="B45" t="s">
        <v>44</v>
      </c>
      <c r="C45">
        <v>4</v>
      </c>
      <c r="D45">
        <v>5</v>
      </c>
      <c r="E45">
        <f t="shared" si="0"/>
        <v>80</v>
      </c>
    </row>
    <row r="46" spans="1:12" x14ac:dyDescent="0.3">
      <c r="A46" t="s">
        <v>2</v>
      </c>
      <c r="B46" t="s">
        <v>45</v>
      </c>
      <c r="C46">
        <v>1</v>
      </c>
      <c r="D46">
        <v>1</v>
      </c>
      <c r="E46">
        <f t="shared" si="0"/>
        <v>100</v>
      </c>
    </row>
    <row r="47" spans="1:12" x14ac:dyDescent="0.3">
      <c r="C47">
        <f>SUM(C2:C46)</f>
        <v>2155</v>
      </c>
      <c r="D47">
        <f>SUM(D2:D46)</f>
        <v>2372</v>
      </c>
      <c r="E47">
        <f>C47/D47*100</f>
        <v>90.851602023608763</v>
      </c>
    </row>
    <row r="48" spans="1:12" x14ac:dyDescent="0.3">
      <c r="A48" s="4" t="s">
        <v>57</v>
      </c>
      <c r="B48" s="4"/>
      <c r="G48" t="s">
        <v>50</v>
      </c>
      <c r="H48" t="s">
        <v>51</v>
      </c>
      <c r="I48" t="s">
        <v>52</v>
      </c>
      <c r="J48" t="s">
        <v>53</v>
      </c>
      <c r="K48" t="s">
        <v>54</v>
      </c>
      <c r="L48" t="s">
        <v>55</v>
      </c>
    </row>
    <row r="49" spans="1:12" x14ac:dyDescent="0.3">
      <c r="A49" t="s">
        <v>2</v>
      </c>
      <c r="B49" s="1" t="s">
        <v>3</v>
      </c>
      <c r="C49">
        <v>8</v>
      </c>
      <c r="D49">
        <v>8</v>
      </c>
      <c r="E49">
        <f t="shared" ref="E49:E63" si="1">C49/D49*100</f>
        <v>100</v>
      </c>
      <c r="G49" s="1" t="s">
        <v>3</v>
      </c>
      <c r="H49">
        <v>8</v>
      </c>
      <c r="I49">
        <v>8</v>
      </c>
      <c r="J49">
        <v>100</v>
      </c>
      <c r="K49">
        <v>62.8</v>
      </c>
      <c r="L49">
        <v>100</v>
      </c>
    </row>
    <row r="50" spans="1:12" x14ac:dyDescent="0.3">
      <c r="A50" t="s">
        <v>2</v>
      </c>
      <c r="B50" s="1" t="s">
        <v>5</v>
      </c>
      <c r="C50">
        <v>65</v>
      </c>
      <c r="D50">
        <v>67</v>
      </c>
      <c r="E50">
        <f t="shared" si="1"/>
        <v>97.014925373134332</v>
      </c>
      <c r="G50" s="1" t="s">
        <v>5</v>
      </c>
      <c r="H50">
        <v>65</v>
      </c>
      <c r="I50">
        <v>67</v>
      </c>
      <c r="J50">
        <v>97</v>
      </c>
      <c r="K50">
        <v>89.1</v>
      </c>
      <c r="L50">
        <v>99.8</v>
      </c>
    </row>
    <row r="51" spans="1:12" x14ac:dyDescent="0.3">
      <c r="A51" t="s">
        <v>2</v>
      </c>
      <c r="B51" s="1" t="s">
        <v>6</v>
      </c>
      <c r="C51">
        <v>7</v>
      </c>
      <c r="D51">
        <v>7</v>
      </c>
      <c r="E51">
        <f t="shared" si="1"/>
        <v>100</v>
      </c>
      <c r="G51" s="1" t="s">
        <v>6</v>
      </c>
      <c r="H51">
        <v>7</v>
      </c>
      <c r="I51">
        <v>7</v>
      </c>
      <c r="J51">
        <v>100</v>
      </c>
      <c r="K51">
        <v>59.6</v>
      </c>
      <c r="L51">
        <v>100</v>
      </c>
    </row>
    <row r="52" spans="1:12" x14ac:dyDescent="0.3">
      <c r="A52" t="s">
        <v>2</v>
      </c>
      <c r="B52" s="1" t="s">
        <v>10</v>
      </c>
      <c r="C52">
        <v>420</v>
      </c>
      <c r="D52">
        <v>427</v>
      </c>
      <c r="E52">
        <f t="shared" si="1"/>
        <v>98.360655737704917</v>
      </c>
      <c r="G52" s="1" t="s">
        <v>10</v>
      </c>
      <c r="H52">
        <v>420</v>
      </c>
      <c r="I52">
        <v>427</v>
      </c>
      <c r="J52">
        <v>98.4</v>
      </c>
      <c r="K52">
        <v>96.6</v>
      </c>
      <c r="L52">
        <v>99.3</v>
      </c>
    </row>
    <row r="53" spans="1:12" x14ac:dyDescent="0.3">
      <c r="A53" t="s">
        <v>2</v>
      </c>
      <c r="B53" s="1" t="s">
        <v>16</v>
      </c>
      <c r="C53">
        <v>3</v>
      </c>
      <c r="D53">
        <v>3</v>
      </c>
      <c r="E53">
        <f t="shared" si="1"/>
        <v>100</v>
      </c>
      <c r="G53" s="1" t="s">
        <v>16</v>
      </c>
      <c r="H53">
        <v>3</v>
      </c>
      <c r="I53">
        <v>3</v>
      </c>
      <c r="J53">
        <v>100</v>
      </c>
      <c r="K53">
        <v>38.299999999999997</v>
      </c>
      <c r="L53">
        <v>100</v>
      </c>
    </row>
    <row r="54" spans="1:12" x14ac:dyDescent="0.3">
      <c r="A54" t="s">
        <v>2</v>
      </c>
      <c r="B54" s="1" t="s">
        <v>18</v>
      </c>
      <c r="C54">
        <v>205</v>
      </c>
      <c r="D54">
        <v>213</v>
      </c>
      <c r="E54">
        <f t="shared" si="1"/>
        <v>96.244131455399057</v>
      </c>
      <c r="G54" s="1" t="s">
        <v>18</v>
      </c>
      <c r="H54">
        <v>205</v>
      </c>
      <c r="I54">
        <v>213</v>
      </c>
      <c r="J54">
        <v>96.2</v>
      </c>
      <c r="K54">
        <v>92.6</v>
      </c>
      <c r="L54">
        <v>98.2</v>
      </c>
    </row>
    <row r="55" spans="1:12" x14ac:dyDescent="0.3">
      <c r="A55" t="s">
        <v>2</v>
      </c>
      <c r="B55" s="1" t="s">
        <v>20</v>
      </c>
      <c r="C55">
        <v>2</v>
      </c>
      <c r="D55">
        <v>2</v>
      </c>
      <c r="E55">
        <f t="shared" si="1"/>
        <v>100</v>
      </c>
      <c r="G55" s="1" t="s">
        <v>20</v>
      </c>
      <c r="H55">
        <v>2</v>
      </c>
      <c r="I55">
        <v>2</v>
      </c>
      <c r="J55">
        <v>100</v>
      </c>
      <c r="K55">
        <v>29</v>
      </c>
      <c r="L55">
        <v>100</v>
      </c>
    </row>
    <row r="56" spans="1:12" x14ac:dyDescent="0.3">
      <c r="A56" t="s">
        <v>2</v>
      </c>
      <c r="B56" s="1" t="s">
        <v>22</v>
      </c>
      <c r="C56">
        <v>12</v>
      </c>
      <c r="D56">
        <v>12</v>
      </c>
      <c r="E56">
        <f t="shared" si="1"/>
        <v>100</v>
      </c>
      <c r="G56" s="1" t="s">
        <v>22</v>
      </c>
      <c r="H56">
        <v>12</v>
      </c>
      <c r="I56">
        <v>12</v>
      </c>
      <c r="J56">
        <v>100</v>
      </c>
      <c r="K56">
        <v>71.8</v>
      </c>
      <c r="L56">
        <v>100</v>
      </c>
    </row>
    <row r="57" spans="1:12" x14ac:dyDescent="0.3">
      <c r="A57" t="s">
        <v>2</v>
      </c>
      <c r="B57" s="1" t="s">
        <v>24</v>
      </c>
      <c r="C57">
        <v>90</v>
      </c>
      <c r="D57">
        <v>95</v>
      </c>
      <c r="E57">
        <f t="shared" si="1"/>
        <v>94.73684210526315</v>
      </c>
      <c r="G57" s="1" t="s">
        <v>24</v>
      </c>
      <c r="H57">
        <v>90</v>
      </c>
      <c r="I57">
        <v>95</v>
      </c>
      <c r="J57">
        <v>94.7</v>
      </c>
      <c r="K57">
        <v>88</v>
      </c>
      <c r="L57">
        <v>98</v>
      </c>
    </row>
    <row r="58" spans="1:12" x14ac:dyDescent="0.3">
      <c r="A58" t="s">
        <v>2</v>
      </c>
      <c r="B58" s="1" t="s">
        <v>27</v>
      </c>
      <c r="C58">
        <v>16</v>
      </c>
      <c r="D58">
        <v>16</v>
      </c>
      <c r="E58">
        <f t="shared" si="1"/>
        <v>100</v>
      </c>
      <c r="G58" s="1" t="s">
        <v>27</v>
      </c>
      <c r="H58">
        <v>16</v>
      </c>
      <c r="I58">
        <v>16</v>
      </c>
      <c r="J58">
        <v>100</v>
      </c>
      <c r="K58">
        <v>77.3</v>
      </c>
      <c r="L58">
        <v>100</v>
      </c>
    </row>
    <row r="59" spans="1:12" x14ac:dyDescent="0.3">
      <c r="A59" t="s">
        <v>2</v>
      </c>
      <c r="B59" s="1" t="s">
        <v>33</v>
      </c>
      <c r="C59">
        <v>5</v>
      </c>
      <c r="D59">
        <v>5</v>
      </c>
      <c r="E59">
        <f t="shared" si="1"/>
        <v>100</v>
      </c>
      <c r="G59" s="1" t="s">
        <v>33</v>
      </c>
      <c r="H59">
        <v>5</v>
      </c>
      <c r="I59">
        <v>5</v>
      </c>
      <c r="J59">
        <v>100</v>
      </c>
      <c r="K59">
        <v>51.1</v>
      </c>
      <c r="L59">
        <v>100</v>
      </c>
    </row>
    <row r="60" spans="1:12" x14ac:dyDescent="0.3">
      <c r="A60" t="s">
        <v>2</v>
      </c>
      <c r="B60" s="1" t="s">
        <v>35</v>
      </c>
      <c r="C60">
        <v>3</v>
      </c>
      <c r="D60">
        <v>3</v>
      </c>
      <c r="E60">
        <f t="shared" si="1"/>
        <v>100</v>
      </c>
      <c r="G60" s="1" t="s">
        <v>35</v>
      </c>
      <c r="H60">
        <v>3</v>
      </c>
      <c r="I60">
        <v>3</v>
      </c>
      <c r="J60">
        <v>100</v>
      </c>
      <c r="K60">
        <v>38.299999999999997</v>
      </c>
      <c r="L60">
        <v>100</v>
      </c>
    </row>
    <row r="61" spans="1:12" x14ac:dyDescent="0.3">
      <c r="A61" t="s">
        <v>2</v>
      </c>
      <c r="B61" s="1" t="s">
        <v>37</v>
      </c>
      <c r="C61">
        <v>3</v>
      </c>
      <c r="D61">
        <v>3</v>
      </c>
      <c r="E61">
        <f t="shared" si="1"/>
        <v>100</v>
      </c>
      <c r="G61" s="1" t="s">
        <v>37</v>
      </c>
      <c r="H61">
        <v>3</v>
      </c>
      <c r="I61">
        <v>3</v>
      </c>
      <c r="J61">
        <v>100</v>
      </c>
      <c r="K61">
        <v>38.299999999999997</v>
      </c>
      <c r="L61">
        <v>100</v>
      </c>
    </row>
    <row r="62" spans="1:12" x14ac:dyDescent="0.3">
      <c r="A62" t="s">
        <v>2</v>
      </c>
      <c r="B62" s="1" t="s">
        <v>41</v>
      </c>
      <c r="C62">
        <v>3</v>
      </c>
      <c r="D62">
        <v>3</v>
      </c>
      <c r="E62">
        <f t="shared" si="1"/>
        <v>100</v>
      </c>
      <c r="G62" s="1" t="s">
        <v>41</v>
      </c>
      <c r="H62">
        <v>3</v>
      </c>
      <c r="I62">
        <v>3</v>
      </c>
      <c r="J62">
        <v>100</v>
      </c>
      <c r="K62">
        <v>38.299999999999997</v>
      </c>
      <c r="L62">
        <v>100</v>
      </c>
    </row>
    <row r="63" spans="1:12" x14ac:dyDescent="0.3">
      <c r="B63" s="1" t="s">
        <v>56</v>
      </c>
      <c r="C63">
        <f>SUM(C49:C62)</f>
        <v>842</v>
      </c>
      <c r="D63">
        <f>SUM(D49:D62)</f>
        <v>864</v>
      </c>
      <c r="E63">
        <f t="shared" si="1"/>
        <v>97.453703703703709</v>
      </c>
      <c r="G63" s="1" t="s">
        <v>56</v>
      </c>
      <c r="H63">
        <v>842</v>
      </c>
      <c r="I63">
        <v>864</v>
      </c>
      <c r="J63">
        <v>97.5</v>
      </c>
      <c r="K63">
        <v>96.2</v>
      </c>
      <c r="L63">
        <v>98.3</v>
      </c>
    </row>
  </sheetData>
  <mergeCells count="1">
    <mergeCell ref="A48:B48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DFAC-21A8-4C6A-A684-2FE2790869F9}">
  <dimension ref="A1:C46"/>
  <sheetViews>
    <sheetView topLeftCell="A19" workbookViewId="0">
      <selection activeCell="H6" sqref="H6"/>
    </sheetView>
  </sheetViews>
  <sheetFormatPr defaultRowHeight="14" x14ac:dyDescent="0.3"/>
  <cols>
    <col min="1" max="1" width="16.08203125" customWidth="1"/>
    <col min="2" max="2" width="15.5" customWidth="1"/>
  </cols>
  <sheetData>
    <row r="1" spans="1:3" x14ac:dyDescent="0.3">
      <c r="A1" t="s">
        <v>2</v>
      </c>
      <c r="B1" t="s">
        <v>1</v>
      </c>
      <c r="C1">
        <v>1</v>
      </c>
    </row>
    <row r="2" spans="1:3" x14ac:dyDescent="0.3">
      <c r="A2" t="s">
        <v>2</v>
      </c>
      <c r="B2" t="s">
        <v>3</v>
      </c>
      <c r="C2">
        <v>8</v>
      </c>
    </row>
    <row r="3" spans="1:3" x14ac:dyDescent="0.3">
      <c r="A3" t="s">
        <v>2</v>
      </c>
      <c r="B3" t="s">
        <v>4</v>
      </c>
      <c r="C3">
        <v>121</v>
      </c>
    </row>
    <row r="4" spans="1:3" x14ac:dyDescent="0.3">
      <c r="A4" t="s">
        <v>2</v>
      </c>
      <c r="B4" t="s">
        <v>47</v>
      </c>
      <c r="C4">
        <v>7</v>
      </c>
    </row>
    <row r="5" spans="1:3" x14ac:dyDescent="0.3">
      <c r="A5" t="s">
        <v>2</v>
      </c>
      <c r="B5" t="s">
        <v>5</v>
      </c>
      <c r="C5">
        <v>58</v>
      </c>
    </row>
    <row r="6" spans="1:3" x14ac:dyDescent="0.3">
      <c r="A6" t="s">
        <v>2</v>
      </c>
      <c r="B6" t="s">
        <v>6</v>
      </c>
      <c r="C6">
        <v>7</v>
      </c>
    </row>
    <row r="7" spans="1:3" x14ac:dyDescent="0.3">
      <c r="A7" t="s">
        <v>2</v>
      </c>
      <c r="B7" t="s">
        <v>7</v>
      </c>
      <c r="C7">
        <v>6</v>
      </c>
    </row>
    <row r="8" spans="1:3" x14ac:dyDescent="0.3">
      <c r="A8" t="s">
        <v>2</v>
      </c>
      <c r="B8" t="s">
        <v>8</v>
      </c>
      <c r="C8">
        <v>1</v>
      </c>
    </row>
    <row r="9" spans="1:3" x14ac:dyDescent="0.3">
      <c r="A9" t="s">
        <v>2</v>
      </c>
      <c r="B9" t="s">
        <v>9</v>
      </c>
      <c r="C9">
        <v>1</v>
      </c>
    </row>
    <row r="10" spans="1:3" x14ac:dyDescent="0.3">
      <c r="A10" t="s">
        <v>2</v>
      </c>
      <c r="B10" t="s">
        <v>10</v>
      </c>
      <c r="C10">
        <v>420</v>
      </c>
    </row>
    <row r="11" spans="1:3" x14ac:dyDescent="0.3">
      <c r="A11" t="s">
        <v>2</v>
      </c>
      <c r="B11" t="s">
        <v>11</v>
      </c>
      <c r="C11">
        <v>453</v>
      </c>
    </row>
    <row r="12" spans="1:3" x14ac:dyDescent="0.3">
      <c r="A12" t="s">
        <v>48</v>
      </c>
      <c r="B12" t="s">
        <v>49</v>
      </c>
      <c r="C12">
        <v>2</v>
      </c>
    </row>
    <row r="13" spans="1:3" x14ac:dyDescent="0.3">
      <c r="A13" t="s">
        <v>2</v>
      </c>
      <c r="B13" t="s">
        <v>12</v>
      </c>
      <c r="C13">
        <v>3</v>
      </c>
    </row>
    <row r="14" spans="1:3" x14ac:dyDescent="0.3">
      <c r="A14" t="s">
        <v>2</v>
      </c>
      <c r="B14" t="s">
        <v>13</v>
      </c>
      <c r="C14">
        <v>14</v>
      </c>
    </row>
    <row r="15" spans="1:3" x14ac:dyDescent="0.3">
      <c r="A15" t="s">
        <v>2</v>
      </c>
      <c r="B15" t="s">
        <v>14</v>
      </c>
      <c r="C15">
        <v>268</v>
      </c>
    </row>
    <row r="16" spans="1:3" x14ac:dyDescent="0.3">
      <c r="A16" t="s">
        <v>2</v>
      </c>
      <c r="B16" t="s">
        <v>15</v>
      </c>
      <c r="C16">
        <v>2</v>
      </c>
    </row>
    <row r="17" spans="1:3" x14ac:dyDescent="0.3">
      <c r="A17" t="s">
        <v>2</v>
      </c>
      <c r="B17" t="s">
        <v>16</v>
      </c>
      <c r="C17">
        <v>3</v>
      </c>
    </row>
    <row r="18" spans="1:3" x14ac:dyDescent="0.3">
      <c r="A18" t="s">
        <v>2</v>
      </c>
      <c r="B18" t="s">
        <v>17</v>
      </c>
      <c r="C18">
        <v>6</v>
      </c>
    </row>
    <row r="19" spans="1:3" x14ac:dyDescent="0.3">
      <c r="A19" t="s">
        <v>2</v>
      </c>
      <c r="B19" t="s">
        <v>18</v>
      </c>
      <c r="C19">
        <v>205</v>
      </c>
    </row>
    <row r="20" spans="1:3" x14ac:dyDescent="0.3">
      <c r="A20" t="s">
        <v>2</v>
      </c>
      <c r="B20" t="s">
        <v>19</v>
      </c>
      <c r="C20">
        <v>4</v>
      </c>
    </row>
    <row r="21" spans="1:3" x14ac:dyDescent="0.3">
      <c r="A21" t="s">
        <v>2</v>
      </c>
      <c r="B21" t="s">
        <v>20</v>
      </c>
      <c r="C21">
        <v>2</v>
      </c>
    </row>
    <row r="22" spans="1:3" x14ac:dyDescent="0.3">
      <c r="A22" t="s">
        <v>2</v>
      </c>
      <c r="B22" t="s">
        <v>21</v>
      </c>
      <c r="C22">
        <v>79</v>
      </c>
    </row>
    <row r="23" spans="1:3" x14ac:dyDescent="0.3">
      <c r="A23" t="s">
        <v>2</v>
      </c>
      <c r="B23" t="s">
        <v>22</v>
      </c>
      <c r="C23">
        <v>12</v>
      </c>
    </row>
    <row r="24" spans="1:3" x14ac:dyDescent="0.3">
      <c r="A24" t="s">
        <v>2</v>
      </c>
      <c r="B24" t="s">
        <v>23</v>
      </c>
      <c r="C24">
        <v>103</v>
      </c>
    </row>
    <row r="25" spans="1:3" x14ac:dyDescent="0.3">
      <c r="A25" t="s">
        <v>2</v>
      </c>
      <c r="B25" t="s">
        <v>24</v>
      </c>
      <c r="C25">
        <v>90</v>
      </c>
    </row>
    <row r="26" spans="1:3" x14ac:dyDescent="0.3">
      <c r="A26" t="s">
        <v>2</v>
      </c>
      <c r="B26" t="s">
        <v>25</v>
      </c>
      <c r="C26">
        <v>2</v>
      </c>
    </row>
    <row r="27" spans="1:3" x14ac:dyDescent="0.3">
      <c r="A27" t="s">
        <v>2</v>
      </c>
      <c r="B27" t="s">
        <v>26</v>
      </c>
      <c r="C27">
        <v>1</v>
      </c>
    </row>
    <row r="28" spans="1:3" x14ac:dyDescent="0.3">
      <c r="A28" t="s">
        <v>2</v>
      </c>
      <c r="B28" t="s">
        <v>27</v>
      </c>
      <c r="C28">
        <v>16</v>
      </c>
    </row>
    <row r="29" spans="1:3" x14ac:dyDescent="0.3">
      <c r="A29" t="s">
        <v>2</v>
      </c>
      <c r="B29" t="s">
        <v>28</v>
      </c>
      <c r="C29">
        <v>3</v>
      </c>
    </row>
    <row r="30" spans="1:3" x14ac:dyDescent="0.3">
      <c r="A30" t="s">
        <v>2</v>
      </c>
      <c r="B30" t="s">
        <v>29</v>
      </c>
      <c r="C30">
        <v>3</v>
      </c>
    </row>
    <row r="31" spans="1:3" x14ac:dyDescent="0.3">
      <c r="A31" t="s">
        <v>2</v>
      </c>
      <c r="B31" t="s">
        <v>30</v>
      </c>
      <c r="C31">
        <v>5</v>
      </c>
    </row>
    <row r="32" spans="1:3" x14ac:dyDescent="0.3">
      <c r="A32" t="s">
        <v>2</v>
      </c>
      <c r="B32" t="s">
        <v>31</v>
      </c>
      <c r="C32">
        <v>1</v>
      </c>
    </row>
    <row r="33" spans="1:3" x14ac:dyDescent="0.3">
      <c r="A33" t="s">
        <v>2</v>
      </c>
      <c r="B33" t="s">
        <v>32</v>
      </c>
      <c r="C33">
        <v>1</v>
      </c>
    </row>
    <row r="34" spans="1:3" x14ac:dyDescent="0.3">
      <c r="A34" t="s">
        <v>2</v>
      </c>
      <c r="B34" t="s">
        <v>33</v>
      </c>
      <c r="C34">
        <v>5</v>
      </c>
    </row>
    <row r="35" spans="1:3" x14ac:dyDescent="0.3">
      <c r="A35" t="s">
        <v>2</v>
      </c>
      <c r="B35" t="s">
        <v>34</v>
      </c>
      <c r="C35">
        <v>51</v>
      </c>
    </row>
    <row r="36" spans="1:3" x14ac:dyDescent="0.3">
      <c r="A36" t="s">
        <v>2</v>
      </c>
      <c r="B36" t="s">
        <v>35</v>
      </c>
      <c r="C36">
        <v>3</v>
      </c>
    </row>
    <row r="37" spans="1:3" x14ac:dyDescent="0.3">
      <c r="A37" t="s">
        <v>2</v>
      </c>
      <c r="B37" t="s">
        <v>36</v>
      </c>
      <c r="C37">
        <v>70</v>
      </c>
    </row>
    <row r="38" spans="1:3" x14ac:dyDescent="0.3">
      <c r="A38" t="s">
        <v>2</v>
      </c>
      <c r="B38" t="s">
        <v>37</v>
      </c>
      <c r="C38">
        <v>3</v>
      </c>
    </row>
    <row r="39" spans="1:3" x14ac:dyDescent="0.3">
      <c r="A39" t="s">
        <v>2</v>
      </c>
      <c r="B39" t="s">
        <v>38</v>
      </c>
      <c r="C39">
        <v>3</v>
      </c>
    </row>
    <row r="40" spans="1:3" x14ac:dyDescent="0.3">
      <c r="A40" t="s">
        <v>2</v>
      </c>
      <c r="B40" t="s">
        <v>39</v>
      </c>
      <c r="C40">
        <v>3</v>
      </c>
    </row>
    <row r="41" spans="1:3" x14ac:dyDescent="0.3">
      <c r="A41" t="s">
        <v>2</v>
      </c>
      <c r="B41" t="s">
        <v>40</v>
      </c>
      <c r="C41">
        <v>2</v>
      </c>
    </row>
    <row r="42" spans="1:3" x14ac:dyDescent="0.3">
      <c r="A42" t="s">
        <v>2</v>
      </c>
      <c r="B42" t="s">
        <v>41</v>
      </c>
      <c r="C42">
        <v>3</v>
      </c>
    </row>
    <row r="43" spans="1:3" x14ac:dyDescent="0.3">
      <c r="A43" t="s">
        <v>2</v>
      </c>
      <c r="B43" t="s">
        <v>42</v>
      </c>
      <c r="C43">
        <v>69</v>
      </c>
    </row>
    <row r="44" spans="1:3" x14ac:dyDescent="0.3">
      <c r="A44" t="s">
        <v>2</v>
      </c>
      <c r="B44" t="s">
        <v>43</v>
      </c>
      <c r="C44">
        <v>30</v>
      </c>
    </row>
    <row r="45" spans="1:3" x14ac:dyDescent="0.3">
      <c r="A45" t="s">
        <v>2</v>
      </c>
      <c r="B45" t="s">
        <v>44</v>
      </c>
      <c r="C45">
        <v>4</v>
      </c>
    </row>
    <row r="46" spans="1:3" x14ac:dyDescent="0.3">
      <c r="A46" t="s">
        <v>2</v>
      </c>
      <c r="B46" t="s">
        <v>45</v>
      </c>
      <c r="C46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lac_report</vt:lpstr>
      <vt:lpstr>lac_all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王一晴</dc:creator>
  <cp:lastModifiedBy>一晴 王</cp:lastModifiedBy>
  <dcterms:created xsi:type="dcterms:W3CDTF">2025-12-05T05:48:31Z</dcterms:created>
  <dcterms:modified xsi:type="dcterms:W3CDTF">2026-10-18T15:11:52Z</dcterms:modified>
</cp:coreProperties>
</file>